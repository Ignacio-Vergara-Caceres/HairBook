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acklog" sheetId="1" r:id="rId4"/>
    <sheet state="visible" name="Resumen" sheetId="2" r:id="rId5"/>
  </sheets>
  <definedNames/>
  <calcPr/>
  <extLst>
    <ext uri="GoogleSheetsCustomDataVersion2">
      <go:sheetsCustomData xmlns:go="http://customooxmlschemas.google.com/" r:id="rId6" roundtripDataChecksum="evcoXsKq1nyVFWk0KBwtiZiJ8iNCOfmHDD299v6MuL4="/>
    </ext>
  </extLst>
</workbook>
</file>

<file path=xl/sharedStrings.xml><?xml version="1.0" encoding="utf-8"?>
<sst xmlns="http://schemas.openxmlformats.org/spreadsheetml/2006/main" count="144" uniqueCount="93">
  <si>
    <t>HAIRBOOK — PRODUCT BACKLOG</t>
  </si>
  <si>
    <t>Proyecto Capstone 2026 · Ingeniería en Informática</t>
  </si>
  <si>
    <t>ID</t>
  </si>
  <si>
    <t>Historia de usuario / Tarea</t>
  </si>
  <si>
    <t>Prioridad</t>
  </si>
  <si>
    <t>Estado</t>
  </si>
  <si>
    <t>Criterio de aceptación</t>
  </si>
  <si>
    <t>HB-01</t>
  </si>
  <si>
    <t>Como equipo de desarrollo, queremos configurar el proyecto web para disponer de una base funcional sobre la cual desarrollar HairBook.</t>
  </si>
  <si>
    <t>Alta</t>
  </si>
  <si>
    <t>Completado</t>
  </si>
  <si>
    <t>El proyecto puede instalarse y ejecutarse localmente mediante navegador.</t>
  </si>
  <si>
    <t>HB-02</t>
  </si>
  <si>
    <t>Como equipo de desarrollo, queremos conectar la aplicación con MongoDB para almacenar la información del sistema.</t>
  </si>
  <si>
    <t>La aplicación logra conectarse correctamente a la base de datos MongoDB.</t>
  </si>
  <si>
    <t>HB-03</t>
  </si>
  <si>
    <t>Como equipo de desarrollo, queremos definir el modelo de datos para organizar clientas, servicios, reservas, pagos y demás información del negocio.</t>
  </si>
  <si>
    <t>En desarrollo</t>
  </si>
  <si>
    <t>Se encuentran identificadas las principales entidades y sus relaciones.</t>
  </si>
  <si>
    <t>HB-04</t>
  </si>
  <si>
    <t>Como clienta, quiero registrarme en HairBook para poder utilizar las funcionalidades de la plataforma.</t>
  </si>
  <si>
    <t>La clienta puede ingresar sus datos, crear una cuenta y quedar registrada en la base de datos.</t>
  </si>
  <si>
    <t>HB-05</t>
  </si>
  <si>
    <t>Como clienta, quiero iniciar sesión utilizando mi RUT y contraseña para acceder a mi cuenta.</t>
  </si>
  <si>
    <t>El sistema valida las credenciales y permite o rechaza el acceso según corresponda.</t>
  </si>
  <si>
    <t>HB-06</t>
  </si>
  <si>
    <t>Como clienta, quiero visualizar los servicios disponibles para conocer las opciones que ofrece la peluquería.</t>
  </si>
  <si>
    <t>Se muestra un listado de servicios con su información correspondiente.</t>
  </si>
  <si>
    <t>HB-07</t>
  </si>
  <si>
    <t>Como clienta, quiero revisar las variantes de un servicio para seleccionar la alternativa que necesito.</t>
  </si>
  <si>
    <t>Pendiente</t>
  </si>
  <si>
    <t>Cada servicio puede tener diferentes variantes o combinaciones asociadas.</t>
  </si>
  <si>
    <t>HB-08</t>
  </si>
  <si>
    <t>Como administradora, quiero definir manualmente el precio de determinados servicios para adaptarlo a las características de cada clienta.</t>
  </si>
  <si>
    <t>La administradora puede establecer o modificar el precio correspondiente.</t>
  </si>
  <si>
    <t>HB-09</t>
  </si>
  <si>
    <t>Como clienta, quiero solicitar una hora para un servicio para evitar coordinar la reserva manualmente por WhatsApp.</t>
  </si>
  <si>
    <t>La clienta selecciona un servicio y envía una solicitud de reserva.</t>
  </si>
  <si>
    <t>HB-10</t>
  </si>
  <si>
    <t>Como administradora, quiero revisar las solicitudes de reserva para aprobarlas o rechazarlas.</t>
  </si>
  <si>
    <t>Las reservas tienen estados como pendiente, aprobada o rechazada y pueden ser modificadas por la administradora.</t>
  </si>
  <si>
    <t>HB-11</t>
  </si>
  <si>
    <t>Como clienta, quiero conocer el estado de mi reserva para saber si la administradora confirmó mi solicitud.</t>
  </si>
  <si>
    <t>La plataforma muestra el estado actualizado de la reserva.</t>
  </si>
  <si>
    <t>HB-12</t>
  </si>
  <si>
    <t>Como administradora, quiero visualizar mi agenda para revisar las reservas y disponibilidad de atención.</t>
  </si>
  <si>
    <t>Existe una vista con las reservas asociadas a fechas y horarios.</t>
  </si>
  <si>
    <t>HB-13</t>
  </si>
  <si>
    <t>Como administradora, quiero registrar información técnica de cada clienta para mantener un historial de sus atenciones.</t>
  </si>
  <si>
    <t>Media</t>
  </si>
  <si>
    <t>Cada clienta cuenta con una ficha donde pueden registrarse comentarios o información técnica.</t>
  </si>
  <si>
    <t>HB-14</t>
  </si>
  <si>
    <t>Como administradora, quiero consultar el historial de servicios de una clienta para conocer sus atenciones anteriores.</t>
  </si>
  <si>
    <t>La ficha de la clienta muestra sus servicios y reservas anteriores.</t>
  </si>
  <si>
    <t>HB-15</t>
  </si>
  <si>
    <t>Como administradora, quiero registrar los pagos realizados por las clientas para mantener control financiero de los servicios.</t>
  </si>
  <si>
    <t>Cada pago puede relacionarse con una clienta y servicio/reserva correspondiente.</t>
  </si>
  <si>
    <t>HB-16</t>
  </si>
  <si>
    <t>Como administradora, quiero registrar gastos generales del negocio para centralizar la información que actualmente manejo en Excel.</t>
  </si>
  <si>
    <t>Pueden registrarse gastos habituales como shampoo, aceite, protector térmico u otros insumos generales.</t>
  </si>
  <si>
    <t>HB-17</t>
  </si>
  <si>
    <t>Como administradora, quiero registrar gastos específicos de determinados servicios para calcular de mejor manera sus costos.</t>
  </si>
  <si>
    <t>Se pueden asociar gastos o materiales extra a servicios específicos.</t>
  </si>
  <si>
    <t>HB-18</t>
  </si>
  <si>
    <t>Como administradora, quiero visualizar información financiera para conocer ingresos, gastos y utilidad del negocio.</t>
  </si>
  <si>
    <t>La plataforma resume ingresos, gastos y resultados registrados.</t>
  </si>
  <si>
    <t>HB-19</t>
  </si>
  <si>
    <t>Como administradora, quiero registrar productos y materiales para disponer de información de inventario.</t>
  </si>
  <si>
    <t>Baja</t>
  </si>
  <si>
    <t>Futuro</t>
  </si>
  <si>
    <t>Los productos pueden almacenarse y consultarse desde la plataforma.</t>
  </si>
  <si>
    <t>RESUMEN DEL BACKLOG — HAIR BOOK</t>
  </si>
  <si>
    <t>HB-20</t>
  </si>
  <si>
    <t>Como administradora, quiero disponer de información para una futura venta de productos a clientas.</t>
  </si>
  <si>
    <t>El modelo permite relacionar productos con futuras operaciones de venta.</t>
  </si>
  <si>
    <t>Cantidad</t>
  </si>
  <si>
    <t>HB-21</t>
  </si>
  <si>
    <t>Como clienta, quiero realizar el flujo desde selección de servicio hasta intento de compra/reserva para disponer de una experiencia completa dentro del prototipo.</t>
  </si>
  <si>
    <t>La clienta puede iniciar sesión, seleccionar un servicio y avanzar por el flujo previsto hasta confirmar o intentar realizar la operación.</t>
  </si>
  <si>
    <t>HB-22</t>
  </si>
  <si>
    <t>Como usuaria, quiero utilizar HairBook desde computador o celular para no depender de instalar una aplicación.</t>
  </si>
  <si>
    <t>Las principales vistas son utilizables desde navegador y se adaptan a distintos tamaños de pantalla.</t>
  </si>
  <si>
    <t>HB-23</t>
  </si>
  <si>
    <t>Como equipo de desarrollo, queremos documentar la instalación del proyecto para poder ejecutarlo en diferentes computadores.</t>
  </si>
  <si>
    <t>El README incluye configuración, dependencias y pasos básicos para levantar el proyecto.</t>
  </si>
  <si>
    <t>HB-24</t>
  </si>
  <si>
    <t>Como equipo de desarrollo, queremos mantener organizada la documentación del Capstone para facilitar las entregas académicas.</t>
  </si>
  <si>
    <t>La estructura documental y las fases del proyecto se encuentran organizadas en el repositorio.</t>
  </si>
  <si>
    <t>Definido</t>
  </si>
  <si>
    <t>Indicador</t>
  </si>
  <si>
    <t>Valor</t>
  </si>
  <si>
    <t>Total ítems</t>
  </si>
  <si>
    <t>Avance completado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</si>
</sst>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8.0"/>
      <color rgb="FFFFFFFF"/>
      <name val="Carlito"/>
    </font>
    <font>
      <i/>
      <sz val="10.0"/>
      <color rgb="FF2F4858"/>
      <name val="Carlito"/>
    </font>
    <font>
      <b/>
      <sz val="11.0"/>
      <color rgb="FFFFFFFF"/>
      <name val="Carlito"/>
    </font>
    <font>
      <sz val="11.0"/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2F4858"/>
        <bgColor rgb="FF2F4858"/>
      </patternFill>
    </fill>
    <fill>
      <patternFill patternType="solid">
        <fgColor rgb="FFE8F0F2"/>
        <bgColor rgb="FFE8F0F2"/>
      </patternFill>
    </fill>
    <fill>
      <patternFill patternType="solid">
        <fgColor rgb="FF3D7A80"/>
        <bgColor rgb="FF3D7A80"/>
      </patternFill>
    </fill>
  </fills>
  <borders count="9">
    <border/>
    <border>
      <left style="thin">
        <color rgb="FFD9E2E3"/>
      </left>
      <top style="thin">
        <color rgb="FFD9E2E3"/>
      </top>
    </border>
    <border>
      <top style="thin">
        <color rgb="FFD9E2E3"/>
      </top>
    </border>
    <border>
      <right style="thin">
        <color rgb="FFD9E2E3"/>
      </right>
      <top style="thin">
        <color rgb="FFD9E2E3"/>
      </top>
    </border>
    <border>
      <left style="thin">
        <color rgb="FFD9E2E3"/>
      </left>
    </border>
    <border>
      <right style="thin">
        <color rgb="FFD9E2E3"/>
      </right>
    </border>
    <border>
      <left style="thin">
        <color rgb="FFD9E2E3"/>
      </left>
      <bottom style="thin">
        <color rgb="FFD9E2E3"/>
      </bottom>
    </border>
    <border>
      <bottom style="thin">
        <color rgb="FFD9E2E3"/>
      </bottom>
    </border>
    <border>
      <right style="thin">
        <color rgb="FFD9E2E3"/>
      </right>
      <bottom style="thin">
        <color rgb="FFD9E2E3"/>
      </bottom>
    </border>
  </borders>
  <cellStyleXfs count="1">
    <xf borderId="0" fillId="0" fontId="0" numFmtId="0" applyAlignment="1" applyFont="1"/>
  </cellStyleXfs>
  <cellXfs count="26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readingOrder="0" vertical="center"/>
    </xf>
    <xf borderId="0" fillId="3" fontId="2" numFmtId="0" xfId="0" applyAlignment="1" applyFill="1" applyFont="1">
      <alignment horizontal="center"/>
    </xf>
    <xf borderId="1" fillId="4" fontId="3" numFmtId="0" xfId="0" applyAlignment="1" applyBorder="1" applyFill="1" applyFont="1">
      <alignment horizontal="center" readingOrder="0" shrinkToFit="0" vertical="center" wrapText="0"/>
    </xf>
    <xf borderId="2" fillId="4" fontId="3" numFmtId="0" xfId="0" applyAlignment="1" applyBorder="1" applyFill="1" applyFont="1">
      <alignment horizontal="center" readingOrder="0" shrinkToFit="0" vertical="center" wrapText="0"/>
    </xf>
    <xf borderId="3" fillId="4" fontId="3" numFmtId="0" xfId="0" applyAlignment="1" applyBorder="1" applyFill="1" applyFont="1">
      <alignment horizontal="center" readingOrder="0" shrinkToFit="0" vertical="center" wrapText="0"/>
    </xf>
    <xf borderId="4" fillId="0" fontId="4" numFmtId="0" xfId="0" applyAlignment="1" applyBorder="1" applyFont="1">
      <alignment horizontal="center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horizontal="center" shrinkToFit="0" vertical="center" wrapText="1"/>
    </xf>
    <xf borderId="5" fillId="0" fontId="4" numFmtId="0" xfId="0" applyAlignment="1" applyBorder="1" applyFont="1">
      <alignment shrinkToFit="0" vertical="center" wrapText="1"/>
    </xf>
    <xf borderId="0" fillId="0" fontId="4" numFmtId="0" xfId="0" applyAlignment="1" applyFont="1">
      <alignment shrinkToFit="0" vertical="center" wrapText="1"/>
    </xf>
    <xf borderId="0" fillId="0" fontId="4" numFmtId="0" xfId="0" applyAlignment="1" applyFont="1">
      <alignment horizontal="center" readingOrder="0" shrinkToFit="0" vertical="center" wrapText="1"/>
    </xf>
    <xf borderId="0" fillId="2" fontId="1" numFmtId="0" xfId="0" applyAlignment="1" applyFill="1" applyFont="1">
      <alignment horizontal="center"/>
    </xf>
    <xf borderId="1" fillId="4" fontId="3" numFmtId="0" xfId="0" applyAlignment="1" applyBorder="1" applyFill="1" applyFont="1">
      <alignment horizontal="center"/>
    </xf>
    <xf borderId="3" fillId="4" fontId="3" numFmtId="0" xfId="0" applyAlignment="1" applyBorder="1" applyFill="1" applyFont="1">
      <alignment horizontal="center"/>
    </xf>
    <xf borderId="0" fillId="4" fontId="3" numFmtId="0" xfId="0" applyAlignment="1" applyFill="1" applyFont="1">
      <alignment horizontal="center"/>
    </xf>
    <xf borderId="4" fillId="0" fontId="4" numFmtId="0" xfId="0" applyBorder="1" applyFont="1"/>
    <xf borderId="5" fillId="0" fontId="4" numFmtId="0" xfId="0" applyBorder="1" applyFont="1"/>
    <xf borderId="0" fillId="0" fontId="4" numFmtId="0" xfId="0" applyFont="1"/>
    <xf borderId="6" fillId="0" fontId="4" numFmtId="0" xfId="0" applyAlignment="1" applyBorder="1" applyFont="1">
      <alignment horizontal="center" shrinkToFit="0" vertical="center" wrapText="1"/>
    </xf>
    <xf borderId="7" fillId="0" fontId="4" numFmtId="0" xfId="0" applyAlignment="1" applyBorder="1" applyFont="1">
      <alignment shrinkToFit="0" vertical="center" wrapText="1"/>
    </xf>
    <xf borderId="7" fillId="0" fontId="4" numFmtId="0" xfId="0" applyAlignment="1" applyBorder="1" applyFont="1">
      <alignment horizontal="center" shrinkToFit="0" vertical="center" wrapText="1"/>
    </xf>
    <xf borderId="8" fillId="0" fontId="4" numFmtId="0" xfId="0" applyAlignment="1" applyBorder="1" applyFont="1">
      <alignment shrinkToFit="0" vertical="center" wrapText="1"/>
    </xf>
    <xf borderId="6" fillId="0" fontId="4" numFmtId="0" xfId="0" applyBorder="1" applyFont="1"/>
    <xf borderId="8" fillId="0" fontId="4" numFmtId="0" xfId="0" applyBorder="1" applyFont="1"/>
    <xf borderId="0" fillId="0" fontId="4" numFmtId="9" xfId="0" applyFont="1" applyNumberFormat="1"/>
  </cellXfs>
  <cellStyles count="1">
    <cellStyle xfId="0" name="Normal" builtinId="0"/>
  </cellStyles>
  <dxfs count="13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274E13"/>
      </font>
      <fill>
        <patternFill patternType="solid">
          <fgColor rgb="FFD9EAD3"/>
          <bgColor rgb="FFD9EAD3"/>
        </patternFill>
      </fill>
      <border/>
    </dxf>
    <dxf>
      <font>
        <b/>
        <color rgb="FF1F4E78"/>
      </font>
      <fill>
        <patternFill patternType="solid">
          <fgColor rgb="FFDDEBF7"/>
          <bgColor rgb="FFDDEBF7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  <dxf>
      <font>
        <b/>
        <color rgb="FF843C0C"/>
      </font>
      <fill>
        <patternFill patternType="solid">
          <fgColor rgb="FFFCE4D6"/>
          <bgColor rgb="FFFCE4D6"/>
        </patternFill>
      </fill>
      <border/>
    </dxf>
    <dxf>
      <font>
        <b/>
        <color rgb="FF595959"/>
      </font>
      <fill>
        <patternFill patternType="solid">
          <fgColor rgb="FFE7E6E6"/>
          <bgColor rgb="FFE7E6E6"/>
        </patternFill>
      </fill>
      <border/>
    </dxf>
    <dxf>
      <font>
        <b/>
        <color rgb="FFC00000"/>
      </font>
      <fill>
        <patternFill patternType="none"/>
      </fill>
      <border/>
    </dxf>
    <dxf>
      <font>
        <b/>
        <color rgb="FFBF9000"/>
      </font>
      <fill>
        <patternFill patternType="none"/>
      </fill>
      <border/>
    </dxf>
    <dxf>
      <font>
        <b/>
        <color rgb="FF548235"/>
      </font>
      <fill>
        <patternFill patternType="none"/>
      </fill>
      <border/>
    </dxf>
  </dxfs>
  <tableStyles count="1">
    <tableStyle count="4" pivot="0" name="Backlog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Ítems por estado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Cantidad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Resumen!$A$4:$A$8</c:f>
            </c:strRef>
          </c:cat>
          <c:val>
            <c:numRef>
              <c:f>Resumen!$B$4:$B$8</c:f>
              <c:numCache/>
            </c:numRef>
          </c:val>
        </c:ser>
        <c:axId val="898404086"/>
        <c:axId val="334207750"/>
      </c:barChart>
      <c:catAx>
        <c:axId val="8984040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34207750"/>
      </c:catAx>
      <c:valAx>
        <c:axId val="33420775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98404086"/>
      </c:valAx>
    </c:plotArea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8</xdr:row>
      <xdr:rowOff>0</xdr:rowOff>
    </xdr:from>
    <xdr:ext cx="5724525" cy="3200400"/>
    <xdr:graphicFrame>
      <xdr:nvGraphicFramePr>
        <xdr:cNvPr id="13598553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ref="A4:E28" displayName="BacklogTable" name="BacklogTable" id="1">
  <tableColumns count="5">
    <tableColumn name="ID" id="1"/>
    <tableColumn name="Historia de usuario / Tarea" id="2"/>
    <tableColumn name="Prioridad" id="3"/>
    <tableColumn name="Estado" id="4"/>
    <tableColumn name="Criterio de aceptación" id="5"/>
  </tableColumns>
  <tableStyleInfo name="Backlog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55.0"/>
    <col customWidth="1" min="3" max="3" width="12.0"/>
    <col customWidth="1" min="4" max="4" width="16.0"/>
    <col customWidth="1" min="5" max="5" width="48.0"/>
    <col customWidth="1" min="6" max="26" width="8.63"/>
  </cols>
  <sheetData>
    <row r="1" ht="30.0" customHeight="1">
      <c r="A1" s="1" t="s">
        <v>0</v>
      </c>
    </row>
    <row r="2" ht="19.5" customHeight="1">
      <c r="A2" s="2" t="s">
        <v>1</v>
      </c>
    </row>
    <row r="4" ht="27.75" customHeight="1">
      <c r="A4" s="3" t="s">
        <v>2</v>
      </c>
      <c r="B4" s="4" t="s">
        <v>3</v>
      </c>
      <c r="C4" s="4" t="s">
        <v>4</v>
      </c>
      <c r="D4" s="4" t="s">
        <v>5</v>
      </c>
      <c r="E4" s="5" t="s">
        <v>6</v>
      </c>
    </row>
    <row r="5" ht="57.75" customHeight="1">
      <c r="A5" s="6" t="s">
        <v>7</v>
      </c>
      <c r="B5" s="7" t="s">
        <v>8</v>
      </c>
      <c r="C5" s="8" t="s">
        <v>9</v>
      </c>
      <c r="D5" s="8" t="s">
        <v>10</v>
      </c>
      <c r="E5" s="9" t="s">
        <v>11</v>
      </c>
    </row>
    <row r="6" ht="57.75" customHeight="1">
      <c r="A6" s="6" t="s">
        <v>12</v>
      </c>
      <c r="B6" s="10" t="s">
        <v>13</v>
      </c>
      <c r="C6" s="8" t="s">
        <v>9</v>
      </c>
      <c r="D6" s="8" t="s">
        <v>10</v>
      </c>
      <c r="E6" s="9" t="s">
        <v>14</v>
      </c>
    </row>
    <row r="7" ht="57.75" customHeight="1">
      <c r="A7" s="6" t="s">
        <v>15</v>
      </c>
      <c r="B7" s="10" t="s">
        <v>16</v>
      </c>
      <c r="C7" s="8" t="s">
        <v>9</v>
      </c>
      <c r="D7" s="11" t="s">
        <v>17</v>
      </c>
      <c r="E7" s="9" t="s">
        <v>18</v>
      </c>
    </row>
    <row r="8" ht="57.75" customHeight="1">
      <c r="A8" s="6" t="s">
        <v>19</v>
      </c>
      <c r="B8" s="7" t="s">
        <v>20</v>
      </c>
      <c r="C8" s="8" t="s">
        <v>9</v>
      </c>
      <c r="D8" s="11" t="s">
        <v>10</v>
      </c>
      <c r="E8" s="9" t="s">
        <v>21</v>
      </c>
    </row>
    <row r="9" ht="57.75" customHeight="1">
      <c r="A9" s="6" t="s">
        <v>22</v>
      </c>
      <c r="B9" s="10" t="s">
        <v>23</v>
      </c>
      <c r="C9" s="8" t="s">
        <v>9</v>
      </c>
      <c r="D9" s="11" t="s">
        <v>10</v>
      </c>
      <c r="E9" s="9" t="s">
        <v>24</v>
      </c>
    </row>
    <row r="10" ht="57.75" customHeight="1">
      <c r="A10" s="6" t="s">
        <v>25</v>
      </c>
      <c r="B10" s="10" t="s">
        <v>26</v>
      </c>
      <c r="C10" s="8" t="s">
        <v>9</v>
      </c>
      <c r="D10" s="11" t="s">
        <v>10</v>
      </c>
      <c r="E10" s="9" t="s">
        <v>27</v>
      </c>
    </row>
    <row r="11" ht="57.75" customHeight="1">
      <c r="A11" s="6" t="s">
        <v>28</v>
      </c>
      <c r="B11" s="10" t="s">
        <v>29</v>
      </c>
      <c r="C11" s="8" t="s">
        <v>9</v>
      </c>
      <c r="D11" s="8" t="s">
        <v>30</v>
      </c>
      <c r="E11" s="9" t="s">
        <v>31</v>
      </c>
    </row>
    <row r="12" ht="57.75" customHeight="1">
      <c r="A12" s="6" t="s">
        <v>32</v>
      </c>
      <c r="B12" s="10" t="s">
        <v>33</v>
      </c>
      <c r="C12" s="8" t="s">
        <v>9</v>
      </c>
      <c r="D12" s="8" t="s">
        <v>30</v>
      </c>
      <c r="E12" s="9" t="s">
        <v>34</v>
      </c>
    </row>
    <row r="13" ht="57.75" customHeight="1">
      <c r="A13" s="6" t="s">
        <v>35</v>
      </c>
      <c r="B13" s="10" t="s">
        <v>36</v>
      </c>
      <c r="C13" s="8" t="s">
        <v>9</v>
      </c>
      <c r="D13" s="11" t="s">
        <v>17</v>
      </c>
      <c r="E13" s="9" t="s">
        <v>37</v>
      </c>
    </row>
    <row r="14" ht="57.75" customHeight="1">
      <c r="A14" s="6" t="s">
        <v>38</v>
      </c>
      <c r="B14" s="10" t="s">
        <v>39</v>
      </c>
      <c r="C14" s="8" t="s">
        <v>9</v>
      </c>
      <c r="D14" s="8" t="s">
        <v>30</v>
      </c>
      <c r="E14" s="9" t="s">
        <v>40</v>
      </c>
    </row>
    <row r="15" ht="57.75" customHeight="1">
      <c r="A15" s="6" t="s">
        <v>41</v>
      </c>
      <c r="B15" s="10" t="s">
        <v>42</v>
      </c>
      <c r="C15" s="8" t="s">
        <v>9</v>
      </c>
      <c r="D15" s="11" t="s">
        <v>10</v>
      </c>
      <c r="E15" s="9" t="s">
        <v>43</v>
      </c>
    </row>
    <row r="16" ht="57.75" customHeight="1">
      <c r="A16" s="6" t="s">
        <v>44</v>
      </c>
      <c r="B16" s="10" t="s">
        <v>45</v>
      </c>
      <c r="C16" s="8" t="s">
        <v>9</v>
      </c>
      <c r="D16" s="8" t="s">
        <v>30</v>
      </c>
      <c r="E16" s="9" t="s">
        <v>46</v>
      </c>
    </row>
    <row r="17" ht="57.75" customHeight="1">
      <c r="A17" s="6" t="s">
        <v>47</v>
      </c>
      <c r="B17" s="10" t="s">
        <v>48</v>
      </c>
      <c r="C17" s="8" t="s">
        <v>49</v>
      </c>
      <c r="D17" s="8" t="s">
        <v>30</v>
      </c>
      <c r="E17" s="9" t="s">
        <v>50</v>
      </c>
    </row>
    <row r="18" ht="57.75" customHeight="1">
      <c r="A18" s="6" t="s">
        <v>51</v>
      </c>
      <c r="B18" s="10" t="s">
        <v>52</v>
      </c>
      <c r="C18" s="8" t="s">
        <v>49</v>
      </c>
      <c r="D18" s="8" t="s">
        <v>30</v>
      </c>
      <c r="E18" s="9" t="s">
        <v>53</v>
      </c>
    </row>
    <row r="19" ht="57.75" customHeight="1">
      <c r="A19" s="6" t="s">
        <v>54</v>
      </c>
      <c r="B19" s="10" t="s">
        <v>55</v>
      </c>
      <c r="C19" s="8" t="s">
        <v>49</v>
      </c>
      <c r="D19" s="8" t="s">
        <v>30</v>
      </c>
      <c r="E19" s="9" t="s">
        <v>56</v>
      </c>
    </row>
    <row r="20" ht="57.75" customHeight="1">
      <c r="A20" s="6" t="s">
        <v>57</v>
      </c>
      <c r="B20" s="10" t="s">
        <v>58</v>
      </c>
      <c r="C20" s="8" t="s">
        <v>49</v>
      </c>
      <c r="D20" s="8" t="s">
        <v>30</v>
      </c>
      <c r="E20" s="9" t="s">
        <v>59</v>
      </c>
    </row>
    <row r="21" ht="57.75" customHeight="1">
      <c r="A21" s="6" t="s">
        <v>60</v>
      </c>
      <c r="B21" s="10" t="s">
        <v>61</v>
      </c>
      <c r="C21" s="8" t="s">
        <v>49</v>
      </c>
      <c r="D21" s="8" t="s">
        <v>30</v>
      </c>
      <c r="E21" s="9" t="s">
        <v>62</v>
      </c>
    </row>
    <row r="22" ht="57.75" customHeight="1">
      <c r="A22" s="6" t="s">
        <v>63</v>
      </c>
      <c r="B22" s="10" t="s">
        <v>64</v>
      </c>
      <c r="C22" s="8" t="s">
        <v>49</v>
      </c>
      <c r="D22" s="8" t="s">
        <v>30</v>
      </c>
      <c r="E22" s="9" t="s">
        <v>65</v>
      </c>
    </row>
    <row r="23" ht="57.75" customHeight="1">
      <c r="A23" s="6" t="s">
        <v>66</v>
      </c>
      <c r="B23" s="10" t="s">
        <v>67</v>
      </c>
      <c r="C23" s="8" t="s">
        <v>68</v>
      </c>
      <c r="D23" s="8" t="s">
        <v>69</v>
      </c>
      <c r="E23" s="9" t="s">
        <v>70</v>
      </c>
    </row>
    <row r="24" ht="57.75" customHeight="1">
      <c r="A24" s="6" t="s">
        <v>72</v>
      </c>
      <c r="B24" s="10" t="s">
        <v>73</v>
      </c>
      <c r="C24" s="8" t="s">
        <v>68</v>
      </c>
      <c r="D24" s="8" t="s">
        <v>69</v>
      </c>
      <c r="E24" s="9" t="s">
        <v>74</v>
      </c>
    </row>
    <row r="25" ht="57.75" customHeight="1">
      <c r="A25" s="6" t="s">
        <v>76</v>
      </c>
      <c r="B25" s="10" t="s">
        <v>77</v>
      </c>
      <c r="C25" s="8" t="s">
        <v>9</v>
      </c>
      <c r="D25" s="8" t="s">
        <v>17</v>
      </c>
      <c r="E25" s="9" t="s">
        <v>78</v>
      </c>
    </row>
    <row r="26" ht="57.75" customHeight="1">
      <c r="A26" s="6" t="s">
        <v>79</v>
      </c>
      <c r="B26" s="7" t="s">
        <v>80</v>
      </c>
      <c r="C26" s="8" t="s">
        <v>9</v>
      </c>
      <c r="D26" s="8" t="s">
        <v>17</v>
      </c>
      <c r="E26" s="9" t="s">
        <v>81</v>
      </c>
    </row>
    <row r="27" ht="57.75" customHeight="1">
      <c r="A27" s="6" t="s">
        <v>82</v>
      </c>
      <c r="B27" s="10" t="s">
        <v>83</v>
      </c>
      <c r="C27" s="8" t="s">
        <v>49</v>
      </c>
      <c r="D27" s="8" t="s">
        <v>10</v>
      </c>
      <c r="E27" s="9" t="s">
        <v>84</v>
      </c>
    </row>
    <row r="28" ht="57.75" customHeight="1">
      <c r="A28" s="19" t="s">
        <v>85</v>
      </c>
      <c r="B28" s="20" t="s">
        <v>86</v>
      </c>
      <c r="C28" s="21" t="s">
        <v>49</v>
      </c>
      <c r="D28" s="21" t="s">
        <v>10</v>
      </c>
      <c r="E28" s="22" t="s">
        <v>87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E1"/>
    <mergeCell ref="A2:E2"/>
  </mergeCells>
  <conditionalFormatting sqref="D5:D28">
    <cfRule type="expression" dxfId="5" priority="1">
      <formula>D5="Completado"</formula>
    </cfRule>
  </conditionalFormatting>
  <conditionalFormatting sqref="D5:D28">
    <cfRule type="expression" dxfId="6" priority="2">
      <formula>D5="Definido"</formula>
    </cfRule>
  </conditionalFormatting>
  <conditionalFormatting sqref="D5:D28">
    <cfRule type="expression" dxfId="7" priority="3">
      <formula>D5="En desarrollo"</formula>
    </cfRule>
  </conditionalFormatting>
  <conditionalFormatting sqref="D5:D28">
    <cfRule type="expression" dxfId="8" priority="4">
      <formula>D5="Pendiente"</formula>
    </cfRule>
  </conditionalFormatting>
  <conditionalFormatting sqref="D5:D28">
    <cfRule type="expression" dxfId="9" priority="5">
      <formula>D5="Futuro"</formula>
    </cfRule>
  </conditionalFormatting>
  <conditionalFormatting sqref="C5:C28">
    <cfRule type="expression" dxfId="10" priority="6">
      <formula>C5="Alta"</formula>
    </cfRule>
  </conditionalFormatting>
  <conditionalFormatting sqref="C5:C28">
    <cfRule type="expression" dxfId="11" priority="7">
      <formula>C5="Media"</formula>
    </cfRule>
  </conditionalFormatting>
  <conditionalFormatting sqref="C5:C28">
    <cfRule type="expression" dxfId="12" priority="8">
      <formula>C5="Baja"</formula>
    </cfRule>
  </conditionalFormatting>
  <dataValidations>
    <dataValidation type="list" allowBlank="1" sqref="C5:C28">
      <formula1>"Alta,Media,Baja"</formula1>
    </dataValidation>
    <dataValidation type="list" allowBlank="1" sqref="D5:D28">
      <formula1>"Completado,Definido,En desarrollo,Pendiente,Futuro"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14.0"/>
    <col customWidth="1" min="3" max="3" width="8.63"/>
    <col customWidth="1" min="4" max="4" width="18.0"/>
    <col customWidth="1" min="5" max="5" width="14.0"/>
    <col customWidth="1" min="6" max="26" width="8.63"/>
  </cols>
  <sheetData>
    <row r="1">
      <c r="A1" s="12" t="s">
        <v>71</v>
      </c>
    </row>
    <row r="3">
      <c r="A3" s="13" t="s">
        <v>5</v>
      </c>
      <c r="B3" s="14" t="s">
        <v>75</v>
      </c>
      <c r="D3" s="15" t="s">
        <v>4</v>
      </c>
      <c r="E3" s="15" t="s">
        <v>75</v>
      </c>
    </row>
    <row r="4">
      <c r="A4" s="16" t="s">
        <v>10</v>
      </c>
      <c r="B4" s="17">
        <f>COUNTIF(Backlog!$D$5:$D$28,A4)</f>
        <v>8</v>
      </c>
      <c r="D4" s="18" t="s">
        <v>9</v>
      </c>
      <c r="E4" s="18">
        <f>COUNTIF(Backlog!$C$5:$C$28,D4)</f>
        <v>14</v>
      </c>
    </row>
    <row r="5">
      <c r="A5" s="16" t="s">
        <v>88</v>
      </c>
      <c r="B5" s="17">
        <f>COUNTIF(Backlog!$D$5:$D$28,A5)</f>
        <v>0</v>
      </c>
      <c r="D5" s="18" t="s">
        <v>49</v>
      </c>
      <c r="E5" s="18">
        <f>COUNTIF(Backlog!$C$5:$C$28,D5)</f>
        <v>8</v>
      </c>
    </row>
    <row r="6">
      <c r="A6" s="16" t="s">
        <v>17</v>
      </c>
      <c r="B6" s="17">
        <f>COUNTIF(Backlog!$D$5:$D$28,A6)</f>
        <v>4</v>
      </c>
      <c r="D6" s="18" t="s">
        <v>68</v>
      </c>
      <c r="E6" s="18">
        <f>COUNTIF(Backlog!$C$5:$C$28,D6)</f>
        <v>2</v>
      </c>
    </row>
    <row r="7">
      <c r="A7" s="16" t="s">
        <v>30</v>
      </c>
      <c r="B7" s="17">
        <f>COUNTIF(Backlog!$D$5:$D$28,A7)</f>
        <v>10</v>
      </c>
    </row>
    <row r="8">
      <c r="A8" s="23" t="s">
        <v>69</v>
      </c>
      <c r="B8" s="24">
        <f>COUNTIF(Backlog!$D$5:$D$28,A8)</f>
        <v>2</v>
      </c>
    </row>
    <row r="10">
      <c r="A10" s="15" t="s">
        <v>89</v>
      </c>
      <c r="B10" s="15" t="s">
        <v>90</v>
      </c>
    </row>
    <row r="11">
      <c r="A11" s="18" t="s">
        <v>91</v>
      </c>
      <c r="B11" s="18">
        <f>COUNTA(Backlog!$A$5:$A$28)</f>
        <v>24</v>
      </c>
    </row>
    <row r="12">
      <c r="A12" s="18" t="s">
        <v>92</v>
      </c>
      <c r="B12" s="25">
        <f>COUNTIF(Backlog!$D$5:$D$28,"Completado")/B11</f>
        <v>0.3333333333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